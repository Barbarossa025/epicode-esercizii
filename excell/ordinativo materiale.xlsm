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Questa_cartella_di_lavoro"/>
  <xr:revisionPtr revIDLastSave="0" documentId="8_{6FB35EB8-66B9-4115-83FE-76E3DABB922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rdine_materiale" sheetId="3" r:id="rId1"/>
    <sheet name="Extra" sheetId="4" r:id="rId2"/>
    <sheet name="Fattura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B10" i="5"/>
  <c r="B11" i="5"/>
  <c r="B12" i="5"/>
  <c r="B13" i="5"/>
  <c r="B14" i="5"/>
  <c r="D10" i="5"/>
  <c r="D11" i="5"/>
  <c r="D12" i="5"/>
  <c r="D13" i="5"/>
  <c r="D14" i="5"/>
  <c r="D9" i="5"/>
  <c r="E18" i="3"/>
  <c r="E19" i="3"/>
  <c r="E20" i="3"/>
  <c r="E21" i="3"/>
  <c r="E22" i="3"/>
  <c r="F22" i="3" s="1"/>
  <c r="E23" i="3"/>
  <c r="E24" i="3"/>
  <c r="E17" i="3"/>
  <c r="C18" i="3"/>
  <c r="C19" i="3"/>
  <c r="C20" i="3"/>
  <c r="C21" i="3"/>
  <c r="C22" i="3"/>
  <c r="C23" i="3"/>
  <c r="C24" i="3"/>
  <c r="C17" i="3"/>
  <c r="F18" i="3"/>
  <c r="F19" i="3"/>
  <c r="F20" i="3"/>
  <c r="F21" i="3"/>
  <c r="F23" i="3"/>
  <c r="F24" i="3"/>
  <c r="F17" i="3"/>
  <c r="C11" i="3"/>
  <c r="F26" i="3" l="1"/>
  <c r="F27" i="3" l="1"/>
  <c r="F29" i="3" s="1"/>
  <c r="E9" i="5" l="1"/>
  <c r="E14" i="5"/>
  <c r="E13" i="5"/>
  <c r="E12" i="5"/>
  <c r="E10" i="5"/>
  <c r="E11" i="5"/>
  <c r="E16" i="5" l="1"/>
  <c r="E17" i="5" s="1"/>
  <c r="E19" i="5" l="1"/>
</calcChain>
</file>

<file path=xl/sharedStrings.xml><?xml version="1.0" encoding="utf-8"?>
<sst xmlns="http://schemas.openxmlformats.org/spreadsheetml/2006/main" count="134" uniqueCount="63">
  <si>
    <t>Snowboard</t>
  </si>
  <si>
    <t>MONO</t>
  </si>
  <si>
    <t>EVOL</t>
  </si>
  <si>
    <t>ROUTER</t>
  </si>
  <si>
    <t>FOCUS</t>
  </si>
  <si>
    <t>MAIMED</t>
  </si>
  <si>
    <t>FRONT</t>
  </si>
  <si>
    <t>CARGO</t>
  </si>
  <si>
    <t>FRANK</t>
  </si>
  <si>
    <t>PRISON</t>
  </si>
  <si>
    <t>SOLID</t>
  </si>
  <si>
    <t>DIABLO</t>
  </si>
  <si>
    <t>EVIL</t>
  </si>
  <si>
    <t>SLOGAN</t>
  </si>
  <si>
    <t>totale</t>
  </si>
  <si>
    <t>prezzo unitario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</si>
  <si>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</si>
  <si>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</si>
  <si>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</si>
  <si>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</si>
  <si>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</si>
  <si>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</si>
  <si>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</si>
  <si>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</si>
  <si>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</si>
  <si>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</si>
  <si>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</si>
  <si>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</si>
  <si>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</si>
  <si>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Descrizione</t>
  </si>
  <si>
    <t>Quantità</t>
  </si>
  <si>
    <t xml:space="preserve">prezzo </t>
  </si>
  <si>
    <t>Totale Imponibile</t>
  </si>
  <si>
    <t>codice</t>
  </si>
  <si>
    <t xml:space="preserve">Codice </t>
  </si>
  <si>
    <t>Categoria prodotto</t>
  </si>
  <si>
    <t>modello</t>
  </si>
  <si>
    <t>iva 22%</t>
  </si>
  <si>
    <t>Giacche Snowboard</t>
  </si>
  <si>
    <t>Pantaloni Snowboard</t>
  </si>
  <si>
    <t>Scarponi</t>
  </si>
  <si>
    <t xml:space="preserve">SCHEDA ORDINATIVO </t>
  </si>
  <si>
    <t>tot. Importo</t>
  </si>
  <si>
    <t>Listino</t>
  </si>
  <si>
    <t>Modello</t>
  </si>
  <si>
    <t>Prezzo unitario</t>
  </si>
  <si>
    <t>a14</t>
  </si>
  <si>
    <t>a15</t>
  </si>
  <si>
    <t>a16</t>
  </si>
  <si>
    <t>a17</t>
  </si>
  <si>
    <t>a18</t>
  </si>
  <si>
    <t>a19</t>
  </si>
  <si>
    <t>a20</t>
  </si>
  <si>
    <t>Guanti</t>
  </si>
  <si>
    <t>BARTON</t>
  </si>
  <si>
    <t>LEVEL</t>
  </si>
  <si>
    <t>Occhiali</t>
  </si>
  <si>
    <t>RAYBAN</t>
  </si>
  <si>
    <t>CERRERA</t>
  </si>
  <si>
    <t>Maglietta termica</t>
  </si>
  <si>
    <t>BASE</t>
  </si>
  <si>
    <t>PREMIUM</t>
  </si>
  <si>
    <t>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</si>
</sst>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€&quot;\ * #,##0.00_-;\-&quot;€&quot;\ * #,##0.00_-;_-&quot;€&quot;\ * &quot;-&quot;??_-;_-@_-"/>
  </numFmts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8"/>
      <name val="Arial"/>
      <family val="2"/>
    </font>
    <font>
      <sz val="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164" fontId="0" fillId="0" borderId="1" xfId="2" applyFont="1" applyBorder="1"/>
    <xf numFmtId="0" fontId="4" fillId="2" borderId="1" xfId="0" applyFont="1" applyFill="1" applyBorder="1"/>
    <xf numFmtId="0" fontId="5" fillId="0" borderId="0" xfId="0" applyFont="1"/>
    <xf numFmtId="164" fontId="0" fillId="0" borderId="0" xfId="2" applyFont="1" applyBorder="1"/>
    <xf numFmtId="164" fontId="2" fillId="0" borderId="0" xfId="2" applyFont="1" applyBorder="1" applyAlignment="1">
      <alignment horizontal="right"/>
    </xf>
    <xf numFmtId="164" fontId="5" fillId="0" borderId="1" xfId="2" applyFont="1" applyBorder="1"/>
    <xf numFmtId="164" fontId="5" fillId="0" borderId="1" xfId="0" applyNumberFormat="1" applyFont="1" applyBorder="1"/>
    <xf numFmtId="0" fontId="3" fillId="0" borderId="1" xfId="0" applyFont="1" applyBorder="1"/>
    <xf numFmtId="0" fontId="5" fillId="0" borderId="1" xfId="0" quotePrefix="1" applyFont="1" applyBorder="1"/>
    <xf numFmtId="0" fontId="3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6" fillId="0" borderId="0" xfId="0" quotePrefix="1" applyFont="1"/>
    <xf numFmtId="0" fontId="0" fillId="3" borderId="1" xfId="0" applyFill="1" applyBorder="1"/>
    <xf numFmtId="0" fontId="1" fillId="0" borderId="0" xfId="0" applyFont="1"/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5" fillId="0" borderId="0" xfId="0" applyNumberFormat="1" applyFont="1"/>
    <xf numFmtId="164" fontId="0" fillId="0" borderId="0" xfId="1" applyFont="1" applyBorder="1"/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7" fillId="4" borderId="1" xfId="0" applyFont="1" applyFill="1" applyBorder="1"/>
    <xf numFmtId="0" fontId="8" fillId="4" borderId="2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0" fillId="3" borderId="5" xfId="0" applyFont="1" applyFill="1" applyBorder="1"/>
    <xf numFmtId="0" fontId="1" fillId="3" borderId="5" xfId="0" applyFont="1" applyFill="1" applyBorder="1"/>
    <xf numFmtId="0" fontId="1" fillId="3" borderId="1" xfId="0" applyFont="1" applyFill="1" applyBorder="1"/>
    <xf numFmtId="0" fontId="1" fillId="0" borderId="1" xfId="0" applyFont="1" applyBorder="1" applyAlignment="1">
      <alignment horizontal="left" vertical="center"/>
    </xf>
    <xf numFmtId="0" fontId="0" fillId="0" borderId="1" xfId="0" applyFont="1" applyFill="1" applyBorder="1"/>
    <xf numFmtId="164" fontId="0" fillId="0" borderId="1" xfId="2" applyFont="1" applyFill="1" applyBorder="1"/>
    <xf numFmtId="0" fontId="1" fillId="0" borderId="1" xfId="0" applyFont="1" applyBorder="1"/>
    <xf numFmtId="164" fontId="1" fillId="0" borderId="1" xfId="2" applyFont="1" applyBorder="1"/>
    <xf numFmtId="0" fontId="1" fillId="0" borderId="1" xfId="0" applyFont="1" applyFill="1" applyBorder="1"/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0" fontId="5" fillId="0" borderId="0" xfId="0" quotePrefix="1" applyFont="1" applyBorder="1"/>
    <xf numFmtId="0" fontId="0" fillId="0" borderId="0" xfId="0" applyBorder="1" applyAlignment="1">
      <alignment horizontal="center"/>
    </xf>
    <xf numFmtId="164" fontId="5" fillId="0" borderId="0" xfId="2" applyFont="1" applyBorder="1"/>
    <xf numFmtId="164" fontId="5" fillId="0" borderId="0" xfId="0" applyNumberFormat="1" applyFont="1" applyBorder="1"/>
  </cellXfs>
  <cellStyles count="3">
    <cellStyle name="Euro" xfId="1" xr:uid="{00000000-0005-0000-0000-000000000000}"/>
    <cellStyle name="Normale" xfId="0" builtinId="0"/>
    <cellStyle name="Valuta" xfId="2" builtinId="4"/>
  </cellStyles>
  <dxfs count="0"/>
  <tableStyles count="1" defaultTableStyle="TableStyleMedium2" defaultPivotStyle="PivotStyleLight16">
    <tableStyle name="Invisible" pivot="0" table="0" count="0" xr9:uid="{274CD37F-C048-484B-B93C-48458821A1C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BFD5A315-5B4B-4114-A6EB-824C186B66E6}"/>
            </a:ext>
          </a:extLst>
        </xdr:cNvPr>
        <xdr:cNvSpPr txBox="1"/>
      </xdr:nvSpPr>
      <xdr:spPr>
        <a:xfrm>
          <a:off x="889000" y="158750"/>
          <a:ext cx="3672417" cy="111125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eaLnBrk="1" fontAlgn="auto" latinLnBrk="0" hangingPunct="1"/>
          <a:r>
            <a:rPr lang="it-IT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Snowboard</a:t>
          </a:r>
          <a:r>
            <a:rPr lang="it-IT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it-IT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Kosciuszko</a:t>
          </a:r>
          <a:endParaRPr lang="it-IT" sz="2000">
            <a:effectLst/>
          </a:endParaRPr>
        </a:p>
        <a:p>
          <a:r>
            <a:rPr lang="it-IT" sz="1100">
              <a:solidFill>
                <a:sysClr val="windowText" lastClr="000000"/>
              </a:solidFill>
            </a:rPr>
            <a:t>Corso</a:t>
          </a:r>
          <a:r>
            <a:rPr lang="it-IT" sz="1100" baseline="0">
              <a:solidFill>
                <a:sysClr val="windowText" lastClr="000000"/>
              </a:solidFill>
            </a:rPr>
            <a:t> Australia 22 - Milano</a:t>
          </a:r>
        </a:p>
        <a:p>
          <a:r>
            <a:rPr lang="it-IT" sz="1100" baseline="0">
              <a:solidFill>
                <a:sysClr val="windowText" lastClr="000000"/>
              </a:solidFill>
            </a:rPr>
            <a:t>Partita IVA.  01234567890</a:t>
          </a:r>
        </a:p>
        <a:p>
          <a:r>
            <a:rPr lang="it-IT" sz="1100" baseline="0">
              <a:solidFill>
                <a:sysClr val="windowText" lastClr="000000"/>
              </a:solidFill>
            </a:rPr>
            <a:t>tel. +39 02 5555555 Fax </a:t>
          </a:r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+39 02 5555555</a:t>
          </a:r>
        </a:p>
        <a:p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info@kosciusko.mt.it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</xdr:colOff>
      <xdr:row>11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34BF794E-67BB-483B-AD8E-BC5B47BCED56}"/>
            </a:ext>
          </a:extLst>
        </xdr:cNvPr>
        <xdr:cNvSpPr txBox="1"/>
      </xdr:nvSpPr>
      <xdr:spPr>
        <a:xfrm>
          <a:off x="8371418" y="2222499"/>
          <a:ext cx="1344082" cy="4762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it-IT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LISTINO</a:t>
          </a:r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14817</xdr:colOff>
      <xdr:row>6</xdr:row>
      <xdr:rowOff>139700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EFED120F-C104-45D8-B604-56DD0F8586F8}"/>
            </a:ext>
          </a:extLst>
        </xdr:cNvPr>
        <xdr:cNvSpPr txBox="1"/>
      </xdr:nvSpPr>
      <xdr:spPr>
        <a:xfrm>
          <a:off x="0" y="0"/>
          <a:ext cx="3672417" cy="111125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eaLnBrk="1" fontAlgn="auto" latinLnBrk="0" hangingPunct="1"/>
          <a:r>
            <a:rPr lang="it-IT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Snowboard</a:t>
          </a:r>
          <a:r>
            <a:rPr lang="it-IT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it-IT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Kosciuszko</a:t>
          </a:r>
          <a:endParaRPr lang="it-IT" sz="2000">
            <a:effectLst/>
          </a:endParaRPr>
        </a:p>
        <a:p>
          <a:r>
            <a:rPr lang="it-IT" sz="1100">
              <a:solidFill>
                <a:sysClr val="windowText" lastClr="000000"/>
              </a:solidFill>
            </a:rPr>
            <a:t>Corso</a:t>
          </a:r>
          <a:r>
            <a:rPr lang="it-IT" sz="1100" baseline="0">
              <a:solidFill>
                <a:sysClr val="windowText" lastClr="000000"/>
              </a:solidFill>
            </a:rPr>
            <a:t> Australia 22 - Milano</a:t>
          </a:r>
        </a:p>
        <a:p>
          <a:r>
            <a:rPr lang="it-IT" sz="1100" baseline="0">
              <a:solidFill>
                <a:sysClr val="windowText" lastClr="000000"/>
              </a:solidFill>
            </a:rPr>
            <a:t>Partita IVA.  01234567890</a:t>
          </a:r>
        </a:p>
        <a:p>
          <a:r>
            <a:rPr lang="it-IT" sz="1100" baseline="0">
              <a:solidFill>
                <a:sysClr val="windowText" lastClr="000000"/>
              </a:solidFill>
            </a:rPr>
            <a:t>tel. +39 02 5555555 Fax </a:t>
          </a:r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+39 02 5555555</a:t>
          </a:r>
        </a:p>
        <a:p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info@kosciusko.mt.it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323850</xdr:colOff>
      <xdr:row>3</xdr:row>
      <xdr:rowOff>85725</xdr:rowOff>
    </xdr:from>
    <xdr:to>
      <xdr:col>10</xdr:col>
      <xdr:colOff>95250</xdr:colOff>
      <xdr:row>7</xdr:row>
      <xdr:rowOff>171450</xdr:rowOff>
    </xdr:to>
    <xdr:sp macro="[0]!Stampa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83F33EC8-8DE9-3BB1-1997-F3F29213BC99}"/>
            </a:ext>
          </a:extLst>
        </xdr:cNvPr>
        <xdr:cNvSpPr/>
      </xdr:nvSpPr>
      <xdr:spPr bwMode="auto">
        <a:xfrm>
          <a:off x="7096125" y="571500"/>
          <a:ext cx="1600200" cy="733425"/>
        </a:xfrm>
        <a:prstGeom prst="roundRect">
          <a:avLst/>
        </a:prstGeom>
        <a:solidFill>
          <a:schemeClr val="accent6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it-IT" sz="2000" b="1">
              <a:solidFill>
                <a:schemeClr val="tx1"/>
              </a:solidFill>
              <a:latin typeface="Georgia" panose="02040502050405020303" pitchFamily="18" charset="0"/>
            </a:rPr>
            <a:t>STAMPA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B10:M34"/>
  <sheetViews>
    <sheetView zoomScale="90" workbookViewId="0">
      <selection activeCell="C17" sqref="C17"/>
    </sheetView>
  </sheetViews>
  <sheetFormatPr defaultRowHeight="12.75" x14ac:dyDescent="0.2"/>
  <cols>
    <col min="1" max="1" width="4.7109375" customWidth="1"/>
    <col min="2" max="2" width="8.5703125" style="19" bestFit="1" customWidth="1"/>
    <col min="3" max="3" width="55.140625" customWidth="1"/>
    <col min="4" max="4" width="10.5703125" bestFit="1" customWidth="1"/>
    <col min="5" max="5" width="11.28515625" customWidth="1"/>
    <col min="6" max="6" width="14.85546875" bestFit="1" customWidth="1"/>
    <col min="7" max="7" width="13.5703125" customWidth="1"/>
    <col min="8" max="8" width="7.85546875" bestFit="1" customWidth="1"/>
    <col min="9" max="9" width="20.140625" bestFit="1" customWidth="1"/>
    <col min="10" max="10" width="18.5703125" bestFit="1" customWidth="1"/>
    <col min="11" max="11" width="14.85546875" bestFit="1" customWidth="1"/>
    <col min="12" max="12" width="13.28515625" bestFit="1" customWidth="1"/>
  </cols>
  <sheetData>
    <row r="10" spans="2:11" x14ac:dyDescent="0.2">
      <c r="C10" s="18" t="s">
        <v>41</v>
      </c>
    </row>
    <row r="11" spans="2:11" x14ac:dyDescent="0.2">
      <c r="C11" s="11" t="str">
        <f ca="1">"Del "&amp;TEXT(TODAY(),"gg/mm/aaaa")</f>
        <v>Del 19/10/2022</v>
      </c>
    </row>
    <row r="12" spans="2:11" x14ac:dyDescent="0.2">
      <c r="C12" s="12"/>
      <c r="D12" s="11"/>
    </row>
    <row r="13" spans="2:11" x14ac:dyDescent="0.2">
      <c r="C13" s="12"/>
      <c r="D13" s="11"/>
    </row>
    <row r="14" spans="2:11" x14ac:dyDescent="0.2">
      <c r="C14" s="12"/>
      <c r="D14" s="11"/>
      <c r="I14" s="11"/>
      <c r="K14" s="5"/>
    </row>
    <row r="15" spans="2:11" ht="15" x14ac:dyDescent="0.25">
      <c r="C15" s="16"/>
    </row>
    <row r="16" spans="2:11" ht="15.75" x14ac:dyDescent="0.25">
      <c r="B16" s="20" t="s">
        <v>33</v>
      </c>
      <c r="C16" s="3" t="s">
        <v>29</v>
      </c>
      <c r="D16" s="15" t="s">
        <v>30</v>
      </c>
      <c r="E16" s="15" t="s">
        <v>31</v>
      </c>
      <c r="F16" s="15" t="s">
        <v>14</v>
      </c>
      <c r="H16" s="25" t="s">
        <v>34</v>
      </c>
      <c r="I16" s="25" t="s">
        <v>35</v>
      </c>
      <c r="J16" s="25" t="s">
        <v>36</v>
      </c>
      <c r="K16" s="25" t="s">
        <v>15</v>
      </c>
    </row>
    <row r="17" spans="2:13" ht="15" customHeight="1" x14ac:dyDescent="0.2">
      <c r="B17" s="23" t="s">
        <v>17</v>
      </c>
      <c r="C17" s="10" t="str">
        <f>IFERROR(VLOOKUP($B17,$H$17:$K$29,2,FALSE)&amp;"-"&amp;VLOOKUP($B17,$H$17:$K$29,3,FALSE),"")</f>
        <v>Snowboard-EVIL</v>
      </c>
      <c r="D17" s="13">
        <v>2</v>
      </c>
      <c r="E17" s="7">
        <f>IFERROR(VLOOKUP($B17,$H$17:$K$29,4,FALSE),"")</f>
        <v>620</v>
      </c>
      <c r="F17" s="8">
        <f>IFERROR(D17*E17,"")</f>
        <v>1240</v>
      </c>
      <c r="H17" s="17" t="s">
        <v>16</v>
      </c>
      <c r="I17" s="9" t="s">
        <v>0</v>
      </c>
      <c r="J17" s="1" t="s">
        <v>11</v>
      </c>
      <c r="K17" s="2">
        <v>578</v>
      </c>
    </row>
    <row r="18" spans="2:13" s="4" customFormat="1" ht="15" customHeight="1" x14ac:dyDescent="0.2">
      <c r="B18" s="23" t="s">
        <v>20</v>
      </c>
      <c r="C18" s="10" t="str">
        <f t="shared" ref="C18:C24" si="0">IFERROR(VLOOKUP($B18,$H$17:$K$29,2,FALSE)&amp;"-"&amp;VLOOKUP($B18,$H$17:$K$29,3,FALSE),"")</f>
        <v>Giacche Snowboard-ROUTER</v>
      </c>
      <c r="D18" s="14">
        <v>5</v>
      </c>
      <c r="E18" s="7">
        <f t="shared" ref="E18:E24" si="1">IFERROR(VLOOKUP($B18,$H$17:$K$29,4,FALSE),"")</f>
        <v>187</v>
      </c>
      <c r="F18" s="8">
        <f t="shared" ref="F18:F24" si="2">IFERROR(D18*E18,"")</f>
        <v>935</v>
      </c>
      <c r="G18"/>
      <c r="H18" s="17" t="s">
        <v>17</v>
      </c>
      <c r="I18" s="9" t="s">
        <v>0</v>
      </c>
      <c r="J18" s="1" t="s">
        <v>12</v>
      </c>
      <c r="K18" s="2">
        <v>620</v>
      </c>
      <c r="L18"/>
      <c r="M18"/>
    </row>
    <row r="19" spans="2:13" s="4" customFormat="1" ht="15" customHeight="1" x14ac:dyDescent="0.2">
      <c r="B19" s="23" t="s">
        <v>22</v>
      </c>
      <c r="C19" s="10" t="str">
        <f t="shared" si="0"/>
        <v>Giacche Snowboard-MAIMED</v>
      </c>
      <c r="D19" s="14">
        <v>6</v>
      </c>
      <c r="E19" s="7">
        <f t="shared" si="1"/>
        <v>158.5</v>
      </c>
      <c r="F19" s="8">
        <f t="shared" si="2"/>
        <v>951</v>
      </c>
      <c r="G19"/>
      <c r="H19" s="17" t="s">
        <v>18</v>
      </c>
      <c r="I19" s="9" t="s">
        <v>38</v>
      </c>
      <c r="J19" s="1" t="s">
        <v>1</v>
      </c>
      <c r="K19" s="2">
        <v>261.5</v>
      </c>
      <c r="L19"/>
      <c r="M19"/>
    </row>
    <row r="20" spans="2:13" ht="15" customHeight="1" x14ac:dyDescent="0.2">
      <c r="B20" s="24"/>
      <c r="C20" s="10" t="str">
        <f t="shared" si="0"/>
        <v/>
      </c>
      <c r="D20" s="14"/>
      <c r="E20" s="7" t="str">
        <f t="shared" si="1"/>
        <v/>
      </c>
      <c r="F20" s="8" t="str">
        <f t="shared" si="2"/>
        <v/>
      </c>
      <c r="H20" s="17" t="s">
        <v>19</v>
      </c>
      <c r="I20" s="9" t="s">
        <v>38</v>
      </c>
      <c r="J20" s="1" t="s">
        <v>2</v>
      </c>
      <c r="K20" s="2">
        <v>214</v>
      </c>
    </row>
    <row r="21" spans="2:13" ht="15" customHeight="1" x14ac:dyDescent="0.2">
      <c r="B21" s="24"/>
      <c r="C21" s="10" t="str">
        <f t="shared" si="0"/>
        <v/>
      </c>
      <c r="D21" s="14"/>
      <c r="E21" s="7" t="str">
        <f t="shared" si="1"/>
        <v/>
      </c>
      <c r="F21" s="8" t="str">
        <f t="shared" si="2"/>
        <v/>
      </c>
      <c r="G21" s="21"/>
      <c r="H21" s="17" t="s">
        <v>20</v>
      </c>
      <c r="I21" s="9" t="s">
        <v>38</v>
      </c>
      <c r="J21" s="1" t="s">
        <v>3</v>
      </c>
      <c r="K21" s="2">
        <v>187</v>
      </c>
      <c r="L21" s="21"/>
      <c r="M21" s="21"/>
    </row>
    <row r="22" spans="2:13" ht="15" customHeight="1" x14ac:dyDescent="0.2">
      <c r="B22" s="24"/>
      <c r="C22" s="10" t="str">
        <f t="shared" si="0"/>
        <v/>
      </c>
      <c r="D22" s="14"/>
      <c r="E22" s="7" t="str">
        <f t="shared" si="1"/>
        <v/>
      </c>
      <c r="F22" s="8" t="str">
        <f t="shared" si="2"/>
        <v/>
      </c>
      <c r="G22" s="21"/>
      <c r="H22" s="17" t="s">
        <v>21</v>
      </c>
      <c r="I22" s="9" t="s">
        <v>38</v>
      </c>
      <c r="J22" s="1" t="s">
        <v>4</v>
      </c>
      <c r="K22" s="2">
        <v>299</v>
      </c>
    </row>
    <row r="23" spans="2:13" ht="15" customHeight="1" x14ac:dyDescent="0.2">
      <c r="B23" s="24"/>
      <c r="C23" s="10" t="str">
        <f t="shared" si="0"/>
        <v/>
      </c>
      <c r="D23" s="14"/>
      <c r="E23" s="7" t="str">
        <f t="shared" si="1"/>
        <v/>
      </c>
      <c r="F23" s="8" t="str">
        <f t="shared" si="2"/>
        <v/>
      </c>
      <c r="G23" s="21"/>
      <c r="H23" s="17" t="s">
        <v>22</v>
      </c>
      <c r="I23" s="9" t="s">
        <v>38</v>
      </c>
      <c r="J23" s="1" t="s">
        <v>5</v>
      </c>
      <c r="K23" s="2">
        <v>158.5</v>
      </c>
    </row>
    <row r="24" spans="2:13" ht="15" customHeight="1" x14ac:dyDescent="0.2">
      <c r="B24" s="24"/>
      <c r="C24" s="10" t="str">
        <f t="shared" si="0"/>
        <v/>
      </c>
      <c r="D24" s="14"/>
      <c r="E24" s="7" t="str">
        <f t="shared" si="1"/>
        <v/>
      </c>
      <c r="F24" s="8" t="str">
        <f t="shared" si="2"/>
        <v/>
      </c>
      <c r="G24" s="21"/>
      <c r="H24" s="17" t="s">
        <v>23</v>
      </c>
      <c r="I24" s="9" t="s">
        <v>39</v>
      </c>
      <c r="J24" s="1" t="s">
        <v>6</v>
      </c>
      <c r="K24" s="2">
        <v>183.5</v>
      </c>
    </row>
    <row r="25" spans="2:13" ht="15" customHeight="1" x14ac:dyDescent="0.2">
      <c r="G25" s="21"/>
      <c r="H25" s="17" t="s">
        <v>24</v>
      </c>
      <c r="I25" s="9" t="s">
        <v>39</v>
      </c>
      <c r="J25" s="1" t="s">
        <v>7</v>
      </c>
      <c r="K25" s="2">
        <v>168</v>
      </c>
    </row>
    <row r="26" spans="2:13" ht="15" customHeight="1" x14ac:dyDescent="0.2">
      <c r="E26" s="6" t="s">
        <v>32</v>
      </c>
      <c r="F26" s="8">
        <f>SUM(F17:F24)</f>
        <v>3126</v>
      </c>
      <c r="G26" s="21"/>
      <c r="H26" s="17" t="s">
        <v>25</v>
      </c>
      <c r="I26" s="9" t="s">
        <v>39</v>
      </c>
      <c r="J26" s="1" t="s">
        <v>8</v>
      </c>
      <c r="K26" s="2">
        <v>140.5</v>
      </c>
    </row>
    <row r="27" spans="2:13" ht="15" customHeight="1" x14ac:dyDescent="0.2">
      <c r="D27" s="5"/>
      <c r="E27" s="6" t="s">
        <v>37</v>
      </c>
      <c r="F27" s="8">
        <f>F26*0.22</f>
        <v>687.72</v>
      </c>
      <c r="G27" s="5"/>
      <c r="H27" s="17" t="s">
        <v>26</v>
      </c>
      <c r="I27" s="9" t="s">
        <v>40</v>
      </c>
      <c r="J27" s="1" t="s">
        <v>13</v>
      </c>
      <c r="K27" s="2">
        <v>197</v>
      </c>
    </row>
    <row r="28" spans="2:13" ht="15" customHeight="1" x14ac:dyDescent="0.2">
      <c r="G28" s="5"/>
      <c r="H28" s="17" t="s">
        <v>27</v>
      </c>
      <c r="I28" s="9" t="s">
        <v>40</v>
      </c>
      <c r="J28" s="1" t="s">
        <v>9</v>
      </c>
      <c r="K28" s="2">
        <v>230</v>
      </c>
    </row>
    <row r="29" spans="2:13" ht="15" customHeight="1" x14ac:dyDescent="0.2">
      <c r="E29" s="18" t="s">
        <v>42</v>
      </c>
      <c r="F29" s="8">
        <f>SUM(F26:F27)</f>
        <v>3813.7200000000003</v>
      </c>
      <c r="G29" s="5"/>
      <c r="H29" s="17" t="s">
        <v>28</v>
      </c>
      <c r="I29" s="9" t="s">
        <v>40</v>
      </c>
      <c r="J29" s="1" t="s">
        <v>10</v>
      </c>
      <c r="K29" s="2">
        <v>195.5</v>
      </c>
    </row>
    <row r="30" spans="2:13" x14ac:dyDescent="0.2">
      <c r="E30" s="5"/>
      <c r="F30" s="5"/>
      <c r="G30" s="5"/>
    </row>
    <row r="31" spans="2:13" x14ac:dyDescent="0.2">
      <c r="E31" s="5"/>
      <c r="F31" s="5"/>
      <c r="G31" s="5"/>
    </row>
    <row r="34" spans="7:7" x14ac:dyDescent="0.2">
      <c r="G34" s="22"/>
    </row>
  </sheetData>
  <phoneticPr fontId="0" type="noConversion"/>
  <dataValidations disablePrompts="1" count="1">
    <dataValidation type="list" allowBlank="1" showInputMessage="1" showErrorMessage="1" sqref="D12:D14" xr:uid="{00000000-0002-0000-0000-000000000000}">
      <formula1>"C1,C2,C3,C4,C5"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94283-26E8-42F5-9A2D-64455396D00B}">
  <sheetPr codeName="Foglio2"/>
  <dimension ref="A1:M34"/>
  <sheetViews>
    <sheetView zoomScaleNormal="100" workbookViewId="0">
      <selection activeCell="D4" sqref="D4"/>
    </sheetView>
  </sheetViews>
  <sheetFormatPr defaultRowHeight="12.75" x14ac:dyDescent="0.2"/>
  <cols>
    <col min="1" max="1" width="8.5703125" bestFit="1" customWidth="1"/>
    <col min="2" max="2" width="32.28515625" style="19" bestFit="1" customWidth="1"/>
    <col min="3" max="3" width="10.42578125" bestFit="1" customWidth="1"/>
    <col min="4" max="4" width="18.42578125" bestFit="1" customWidth="1"/>
    <col min="5" max="5" width="13.5703125" bestFit="1" customWidth="1"/>
    <col min="6" max="6" width="8.5703125" bestFit="1" customWidth="1"/>
    <col min="7" max="7" width="32.28515625" bestFit="1" customWidth="1"/>
    <col min="8" max="8" width="10.42578125" bestFit="1" customWidth="1"/>
    <col min="9" max="9" width="18.42578125" bestFit="1" customWidth="1"/>
    <col min="10" max="10" width="13.5703125" bestFit="1" customWidth="1"/>
    <col min="11" max="11" width="14.85546875" bestFit="1" customWidth="1"/>
    <col min="12" max="12" width="13.28515625" bestFit="1" customWidth="1"/>
  </cols>
  <sheetData>
    <row r="1" spans="1:4" ht="15.75" x14ac:dyDescent="0.25">
      <c r="A1" s="26" t="s">
        <v>43</v>
      </c>
      <c r="B1" s="27"/>
      <c r="C1" s="27"/>
      <c r="D1" s="28"/>
    </row>
    <row r="2" spans="1:4" x14ac:dyDescent="0.2">
      <c r="A2" s="25" t="s">
        <v>34</v>
      </c>
      <c r="B2" s="25" t="s">
        <v>35</v>
      </c>
      <c r="C2" s="25" t="s">
        <v>44</v>
      </c>
      <c r="D2" s="25" t="s">
        <v>45</v>
      </c>
    </row>
    <row r="3" spans="1:4" x14ac:dyDescent="0.2">
      <c r="A3" s="17" t="s">
        <v>16</v>
      </c>
      <c r="B3" s="9" t="s">
        <v>0</v>
      </c>
      <c r="C3" s="1" t="s">
        <v>11</v>
      </c>
      <c r="D3" s="2">
        <v>578</v>
      </c>
    </row>
    <row r="4" spans="1:4" x14ac:dyDescent="0.2">
      <c r="A4" s="17" t="s">
        <v>17</v>
      </c>
      <c r="B4" s="9" t="s">
        <v>0</v>
      </c>
      <c r="C4" s="1" t="s">
        <v>12</v>
      </c>
      <c r="D4" s="2">
        <v>620</v>
      </c>
    </row>
    <row r="5" spans="1:4" x14ac:dyDescent="0.2">
      <c r="A5" s="17" t="s">
        <v>18</v>
      </c>
      <c r="B5" s="9" t="s">
        <v>38</v>
      </c>
      <c r="C5" s="1" t="s">
        <v>1</v>
      </c>
      <c r="D5" s="2">
        <v>261.5</v>
      </c>
    </row>
    <row r="6" spans="1:4" x14ac:dyDescent="0.2">
      <c r="A6" s="17" t="s">
        <v>19</v>
      </c>
      <c r="B6" s="9" t="s">
        <v>38</v>
      </c>
      <c r="C6" s="1" t="s">
        <v>2</v>
      </c>
      <c r="D6" s="2">
        <v>214</v>
      </c>
    </row>
    <row r="7" spans="1:4" x14ac:dyDescent="0.2">
      <c r="A7" s="17" t="s">
        <v>20</v>
      </c>
      <c r="B7" s="9" t="s">
        <v>38</v>
      </c>
      <c r="C7" s="1" t="s">
        <v>3</v>
      </c>
      <c r="D7" s="2">
        <v>187</v>
      </c>
    </row>
    <row r="8" spans="1:4" x14ac:dyDescent="0.2">
      <c r="A8" s="17" t="s">
        <v>21</v>
      </c>
      <c r="B8" s="9" t="s">
        <v>38</v>
      </c>
      <c r="C8" s="1" t="s">
        <v>4</v>
      </c>
      <c r="D8" s="2">
        <v>299</v>
      </c>
    </row>
    <row r="9" spans="1:4" x14ac:dyDescent="0.2">
      <c r="A9" s="17" t="s">
        <v>22</v>
      </c>
      <c r="B9" s="9" t="s">
        <v>38</v>
      </c>
      <c r="C9" s="1" t="s">
        <v>5</v>
      </c>
      <c r="D9" s="2">
        <v>158.5</v>
      </c>
    </row>
    <row r="10" spans="1:4" x14ac:dyDescent="0.2">
      <c r="A10" s="17" t="s">
        <v>23</v>
      </c>
      <c r="B10" s="9" t="s">
        <v>39</v>
      </c>
      <c r="C10" s="1" t="s">
        <v>6</v>
      </c>
      <c r="D10" s="2">
        <v>183.5</v>
      </c>
    </row>
    <row r="11" spans="1:4" x14ac:dyDescent="0.2">
      <c r="A11" s="17" t="s">
        <v>24</v>
      </c>
      <c r="B11" s="9" t="s">
        <v>39</v>
      </c>
      <c r="C11" s="1" t="s">
        <v>7</v>
      </c>
      <c r="D11" s="2">
        <v>168</v>
      </c>
    </row>
    <row r="12" spans="1:4" x14ac:dyDescent="0.2">
      <c r="A12" s="17" t="s">
        <v>25</v>
      </c>
      <c r="B12" s="9" t="s">
        <v>39</v>
      </c>
      <c r="C12" s="1" t="s">
        <v>8</v>
      </c>
      <c r="D12" s="2">
        <v>140.5</v>
      </c>
    </row>
    <row r="13" spans="1:4" x14ac:dyDescent="0.2">
      <c r="A13" s="17" t="s">
        <v>26</v>
      </c>
      <c r="B13" s="9" t="s">
        <v>40</v>
      </c>
      <c r="C13" s="1" t="s">
        <v>13</v>
      </c>
      <c r="D13" s="2">
        <v>197</v>
      </c>
    </row>
    <row r="14" spans="1:4" x14ac:dyDescent="0.2">
      <c r="A14" s="17" t="s">
        <v>27</v>
      </c>
      <c r="B14" s="9" t="s">
        <v>40</v>
      </c>
      <c r="C14" s="1" t="s">
        <v>9</v>
      </c>
      <c r="D14" s="2">
        <v>230</v>
      </c>
    </row>
    <row r="15" spans="1:4" x14ac:dyDescent="0.2">
      <c r="A15" s="17" t="s">
        <v>28</v>
      </c>
      <c r="B15" s="9" t="s">
        <v>40</v>
      </c>
      <c r="C15" s="1" t="s">
        <v>10</v>
      </c>
      <c r="D15" s="2">
        <v>195.5</v>
      </c>
    </row>
    <row r="16" spans="1:4" x14ac:dyDescent="0.2">
      <c r="A16" s="29" t="s">
        <v>46</v>
      </c>
      <c r="B16" s="32" t="s">
        <v>53</v>
      </c>
      <c r="C16" s="33" t="s">
        <v>54</v>
      </c>
      <c r="D16" s="34">
        <v>30</v>
      </c>
    </row>
    <row r="17" spans="1:13" ht="15" customHeight="1" x14ac:dyDescent="0.2">
      <c r="A17" s="17" t="s">
        <v>47</v>
      </c>
      <c r="B17" s="32" t="s">
        <v>53</v>
      </c>
      <c r="C17" s="33" t="s">
        <v>55</v>
      </c>
      <c r="D17" s="34">
        <v>90</v>
      </c>
    </row>
    <row r="18" spans="1:13" s="4" customFormat="1" ht="15" customHeight="1" x14ac:dyDescent="0.2">
      <c r="A18" s="30" t="s">
        <v>48</v>
      </c>
      <c r="B18" s="35" t="s">
        <v>56</v>
      </c>
      <c r="C18" s="35" t="s">
        <v>58</v>
      </c>
      <c r="D18" s="36">
        <v>40</v>
      </c>
      <c r="G18"/>
      <c r="L18"/>
      <c r="M18"/>
    </row>
    <row r="19" spans="1:13" s="4" customFormat="1" ht="15" customHeight="1" x14ac:dyDescent="0.2">
      <c r="A19" s="31" t="s">
        <v>49</v>
      </c>
      <c r="B19" s="37" t="s">
        <v>56</v>
      </c>
      <c r="C19" s="37" t="s">
        <v>57</v>
      </c>
      <c r="D19" s="34">
        <v>160</v>
      </c>
      <c r="G19"/>
      <c r="L19"/>
      <c r="M19"/>
    </row>
    <row r="20" spans="1:13" ht="15" customHeight="1" x14ac:dyDescent="0.2">
      <c r="A20" s="30" t="s">
        <v>50</v>
      </c>
      <c r="B20" s="38" t="s">
        <v>59</v>
      </c>
      <c r="C20" s="37" t="s">
        <v>60</v>
      </c>
      <c r="D20" s="34">
        <v>20</v>
      </c>
    </row>
    <row r="21" spans="1:13" ht="15" customHeight="1" x14ac:dyDescent="0.2">
      <c r="A21" s="31" t="s">
        <v>51</v>
      </c>
      <c r="B21" s="38" t="s">
        <v>59</v>
      </c>
      <c r="C21" s="37" t="s">
        <v>62</v>
      </c>
      <c r="D21" s="34">
        <v>50</v>
      </c>
      <c r="G21" s="21"/>
      <c r="L21" s="21"/>
      <c r="M21" s="21"/>
    </row>
    <row r="22" spans="1:13" ht="15" customHeight="1" x14ac:dyDescent="0.2">
      <c r="A22" s="31" t="s">
        <v>52</v>
      </c>
      <c r="B22" s="38" t="s">
        <v>59</v>
      </c>
      <c r="C22" s="37" t="s">
        <v>61</v>
      </c>
      <c r="D22" s="34">
        <v>80</v>
      </c>
      <c r="G22" s="21"/>
    </row>
    <row r="23" spans="1:13" ht="15" customHeight="1" x14ac:dyDescent="0.2">
      <c r="G23" s="21"/>
    </row>
    <row r="24" spans="1:13" ht="15" customHeight="1" x14ac:dyDescent="0.2">
      <c r="G24" s="21"/>
    </row>
    <row r="25" spans="1:13" ht="15" customHeight="1" x14ac:dyDescent="0.2">
      <c r="G25" s="21"/>
    </row>
    <row r="26" spans="1:13" ht="15" customHeight="1" x14ac:dyDescent="0.2">
      <c r="G26" s="21"/>
    </row>
    <row r="27" spans="1:13" ht="15" customHeight="1" x14ac:dyDescent="0.2">
      <c r="G27" s="5"/>
    </row>
    <row r="28" spans="1:13" ht="15" customHeight="1" x14ac:dyDescent="0.2">
      <c r="G28" s="5"/>
    </row>
    <row r="29" spans="1:13" ht="15" customHeight="1" x14ac:dyDescent="0.2">
      <c r="G29" s="5"/>
    </row>
    <row r="30" spans="1:13" x14ac:dyDescent="0.2">
      <c r="G30" s="5"/>
    </row>
    <row r="31" spans="1:13" x14ac:dyDescent="0.2">
      <c r="G31" s="5"/>
    </row>
    <row r="34" spans="7:7" x14ac:dyDescent="0.2">
      <c r="G34" s="22"/>
    </row>
  </sheetData>
  <mergeCells count="1">
    <mergeCell ref="A1:D1"/>
  </mergeCells>
  <phoneticPr fontId="9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41E67-4B41-459C-9777-8770424EACD6}">
  <sheetPr codeName="Foglio3"/>
  <dimension ref="A8:K19"/>
  <sheetViews>
    <sheetView tabSelected="1" workbookViewId="0">
      <selection activeCell="J13" sqref="J13"/>
    </sheetView>
  </sheetViews>
  <sheetFormatPr defaultRowHeight="12.75" x14ac:dyDescent="0.2"/>
  <cols>
    <col min="1" max="1" width="8.5703125" bestFit="1" customWidth="1"/>
    <col min="2" max="2" width="32.28515625" bestFit="1" customWidth="1"/>
    <col min="3" max="3" width="10.42578125" bestFit="1" customWidth="1"/>
    <col min="4" max="4" width="18.42578125" bestFit="1" customWidth="1"/>
    <col min="5" max="5" width="13.5703125" bestFit="1" customWidth="1"/>
  </cols>
  <sheetData>
    <row r="8" spans="1:11" ht="15.75" x14ac:dyDescent="0.25">
      <c r="A8" s="20" t="s">
        <v>33</v>
      </c>
      <c r="B8" s="3" t="s">
        <v>29</v>
      </c>
      <c r="C8" s="15" t="s">
        <v>30</v>
      </c>
      <c r="D8" s="15" t="s">
        <v>31</v>
      </c>
      <c r="E8" s="15" t="s">
        <v>14</v>
      </c>
    </row>
    <row r="9" spans="1:11" ht="15" x14ac:dyDescent="0.2">
      <c r="A9" s="23" t="s">
        <v>17</v>
      </c>
      <c r="B9" s="10" t="str">
        <f>_xlfn.XLOOKUP($A9,Extra!A3:A22,Extra!B3:B22,"")</f>
        <v>Snowboard</v>
      </c>
      <c r="C9" s="13">
        <v>2</v>
      </c>
      <c r="D9" s="10">
        <f>_xlfn.XLOOKUP(Fattura!$A9,Extra!A3:A22,Extra!D3:D22,"")</f>
        <v>620</v>
      </c>
      <c r="E9" s="8">
        <f t="shared" ref="E9:E14" si="0">IFERROR(C9*D9,"")</f>
        <v>1240</v>
      </c>
    </row>
    <row r="10" spans="1:11" ht="15" x14ac:dyDescent="0.2">
      <c r="A10" s="23" t="s">
        <v>27</v>
      </c>
      <c r="B10" s="10" t="str">
        <f>_xlfn.XLOOKUP($A10,Extra!A4:A23,Extra!B4:B23,"")</f>
        <v>Scarponi</v>
      </c>
      <c r="C10" s="13">
        <v>1</v>
      </c>
      <c r="D10" s="10">
        <f>_xlfn.XLOOKUP(Fattura!$A10,Extra!A4:A23,Extra!D4:D23,"")</f>
        <v>230</v>
      </c>
      <c r="E10" s="8">
        <f t="shared" si="0"/>
        <v>230</v>
      </c>
    </row>
    <row r="11" spans="1:11" ht="15" x14ac:dyDescent="0.2">
      <c r="A11" s="23" t="s">
        <v>47</v>
      </c>
      <c r="B11" s="10" t="str">
        <f>_xlfn.XLOOKUP($A11,Extra!A5:A24,Extra!B5:B24,"")</f>
        <v>Guanti</v>
      </c>
      <c r="C11" s="13">
        <v>5</v>
      </c>
      <c r="D11" s="10">
        <f>_xlfn.XLOOKUP(Fattura!$A11,Extra!A5:A24,Extra!D5:D24,"")</f>
        <v>90</v>
      </c>
      <c r="E11" s="8">
        <f t="shared" si="0"/>
        <v>450</v>
      </c>
    </row>
    <row r="12" spans="1:11" ht="15" x14ac:dyDescent="0.2">
      <c r="A12" s="23" t="s">
        <v>47</v>
      </c>
      <c r="B12" s="10" t="str">
        <f>_xlfn.XLOOKUP($A12,Extra!A6:A25,Extra!B6:B25,"")</f>
        <v>Guanti</v>
      </c>
      <c r="C12" s="13">
        <v>3</v>
      </c>
      <c r="D12" s="10">
        <f>_xlfn.XLOOKUP(Fattura!$A12,Extra!A6:A25,Extra!D6:D25,"")</f>
        <v>90</v>
      </c>
      <c r="E12" s="8">
        <f t="shared" si="0"/>
        <v>270</v>
      </c>
    </row>
    <row r="13" spans="1:11" ht="15" x14ac:dyDescent="0.2">
      <c r="A13" s="23" t="s">
        <v>48</v>
      </c>
      <c r="B13" s="10" t="str">
        <f>_xlfn.XLOOKUP($A13,Extra!A7:A26,Extra!B7:B26,"")</f>
        <v>Occhiali</v>
      </c>
      <c r="C13" s="13">
        <v>4</v>
      </c>
      <c r="D13" s="10">
        <f>_xlfn.XLOOKUP(Fattura!$A13,Extra!A7:A26,Extra!D7:D26,"")</f>
        <v>40</v>
      </c>
      <c r="E13" s="8">
        <f t="shared" si="0"/>
        <v>160</v>
      </c>
    </row>
    <row r="14" spans="1:11" ht="15" x14ac:dyDescent="0.2">
      <c r="A14" s="23" t="s">
        <v>49</v>
      </c>
      <c r="B14" s="10" t="str">
        <f>_xlfn.XLOOKUP($A14,Extra!A8:A27,Extra!B8:B27,"")</f>
        <v>Occhiali</v>
      </c>
      <c r="C14" s="13">
        <v>1</v>
      </c>
      <c r="D14" s="10">
        <f>_xlfn.XLOOKUP(Fattura!$A14,Extra!A8:A27,Extra!D8:D27,"")</f>
        <v>160</v>
      </c>
      <c r="E14" s="8">
        <f t="shared" si="0"/>
        <v>160</v>
      </c>
    </row>
    <row r="15" spans="1:11" ht="15" x14ac:dyDescent="0.2">
      <c r="A15" s="39"/>
      <c r="B15" s="40"/>
      <c r="C15" s="41"/>
      <c r="D15" s="42"/>
      <c r="E15" s="43"/>
      <c r="K15" s="19"/>
    </row>
    <row r="16" spans="1:11" ht="15" x14ac:dyDescent="0.2">
      <c r="A16" s="19"/>
      <c r="D16" s="6" t="s">
        <v>32</v>
      </c>
      <c r="E16" s="8">
        <f>SUM(E9:E14)</f>
        <v>2510</v>
      </c>
    </row>
    <row r="17" spans="1:5" ht="15" x14ac:dyDescent="0.2">
      <c r="A17" s="19"/>
      <c r="C17" s="5"/>
      <c r="D17" s="6" t="s">
        <v>37</v>
      </c>
      <c r="E17" s="8">
        <f>E16*0.22</f>
        <v>552.20000000000005</v>
      </c>
    </row>
    <row r="18" spans="1:5" x14ac:dyDescent="0.2">
      <c r="A18" s="19"/>
    </row>
    <row r="19" spans="1:5" ht="15" x14ac:dyDescent="0.2">
      <c r="A19" s="19"/>
      <c r="D19" s="18" t="s">
        <v>42</v>
      </c>
      <c r="E19" s="8">
        <f>SUM(E16:E17)</f>
        <v>3062.2</v>
      </c>
    </row>
  </sheetData>
  <phoneticPr fontId="10" type="noConversion"/>
  <dataValidations count="2">
    <dataValidation type="whole" allowBlank="1" showInputMessage="1" showErrorMessage="1" errorTitle="warning" error="non disp" sqref="C9 C11:C14" xr:uid="{909C896E-117D-4571-BA8D-361D6AD2DB56}">
      <formula1>1</formula1>
      <formula2>5</formula2>
    </dataValidation>
    <dataValidation type="whole" allowBlank="1" showInputMessage="1" showErrorMessage="1" errorTitle="Warning" error="non disp" sqref="C10" xr:uid="{4003CB23-A240-434E-A963-3B3B7978E0C3}">
      <formula1>1</formula1>
      <formula2>5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8C7928-10FE-4B96-8307-CD187B982520}">
          <x14:formula1>
            <xm:f>Extra!$A$3:$A$22</xm:f>
          </x14:formula1>
          <xm:sqref>A9:A14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ordine_materiale</vt:lpstr>
      <vt:lpstr>Extra</vt:lpstr>
      <vt:lpstr>Fattura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2022-08-31T13:51:39Z</dcterms:created>
  <dcterms:modified xsi:type="dcterms:W3CDTF">2022-10-19T14:35:12Z</dcterms:modified>
</cp:coreProperties>
</file>